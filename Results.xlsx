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 Bench Hard" sheetId="1" r:id="rId5"/>
    <sheet state="visible" name="MMLU" sheetId="2" r:id="rId6"/>
    <sheet state="visible" name="DocVQA" sheetId="3" r:id="rId7"/>
    <sheet state="visible" name="Emo" sheetId="4" r:id="rId8"/>
  </sheets>
  <definedNames/>
  <calcPr/>
</workbook>
</file>

<file path=xl/sharedStrings.xml><?xml version="1.0" encoding="utf-8"?>
<sst xmlns="http://schemas.openxmlformats.org/spreadsheetml/2006/main" count="78" uniqueCount="51">
  <si>
    <t>Splits</t>
  </si>
  <si>
    <t>Gemini</t>
  </si>
  <si>
    <t>OpenAI</t>
  </si>
  <si>
    <t>XAI</t>
  </si>
  <si>
    <t>Qwen</t>
  </si>
  <si>
    <t>Gemma</t>
  </si>
  <si>
    <t>Deepseek</t>
  </si>
  <si>
    <t>boolean_expressions</t>
  </si>
  <si>
    <t>causal_judgement</t>
  </si>
  <si>
    <t>date_understanding</t>
  </si>
  <si>
    <t>dyck_languages</t>
  </si>
  <si>
    <t>formal_fallacies</t>
  </si>
  <si>
    <t>geometric_shapes</t>
  </si>
  <si>
    <t>logical_deduction_five_objects</t>
  </si>
  <si>
    <t>logical_deduction_seven_objects</t>
  </si>
  <si>
    <t>logical_deduction_three_objects</t>
  </si>
  <si>
    <t>multistep_arithmetic_two</t>
  </si>
  <si>
    <t>navigate</t>
  </si>
  <si>
    <t>object_counting</t>
  </si>
  <si>
    <t>penguins_in_a_table</t>
  </si>
  <si>
    <t>reasoning_about_colored_objects</t>
  </si>
  <si>
    <t>temporal_sequences</t>
  </si>
  <si>
    <t>tracking_shuffled_objects_five_objects</t>
  </si>
  <si>
    <t>tracking_shuffled_objects_seven_objects</t>
  </si>
  <si>
    <t>tracking_shuffled_objects_three_objects</t>
  </si>
  <si>
    <t>web_of_lies</t>
  </si>
  <si>
    <t>word_sorting</t>
  </si>
  <si>
    <t>Overall Score</t>
  </si>
  <si>
    <t>Business_ethics</t>
  </si>
  <si>
    <t>Econometrics</t>
  </si>
  <si>
    <t>Elementary_math</t>
  </si>
  <si>
    <t>Formal_logic</t>
  </si>
  <si>
    <t>Jurisprudence</t>
  </si>
  <si>
    <t>Logical_fallacies</t>
  </si>
  <si>
    <t>Management</t>
  </si>
  <si>
    <t>Marketing</t>
  </si>
  <si>
    <t>Miscellaneous</t>
  </si>
  <si>
    <t>Moral_disputes</t>
  </si>
  <si>
    <t>Moral_scenarios</t>
  </si>
  <si>
    <t>Philosophy</t>
  </si>
  <si>
    <t>Professional_accounting</t>
  </si>
  <si>
    <t>Overall</t>
  </si>
  <si>
    <t>Emotional Understanding (EU)</t>
  </si>
  <si>
    <t>emotional_cues</t>
  </si>
  <si>
    <t>N/A</t>
  </si>
  <si>
    <t>personal_beliefs_and_experiences</t>
  </si>
  <si>
    <t>perspective_taking</t>
  </si>
  <si>
    <t>eu_overall</t>
  </si>
  <si>
    <t>Emotional Application (EA)</t>
  </si>
  <si>
    <t>Personal-Self</t>
  </si>
  <si>
    <t>ea_overall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</si>
</sst>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0.984</v>
      </c>
      <c r="C2" s="2">
        <v>0.976</v>
      </c>
      <c r="D2" s="2">
        <v>0.996</v>
      </c>
      <c r="E2" s="2">
        <v>0.992</v>
      </c>
      <c r="F2" s="3"/>
      <c r="G2" s="2">
        <v>1.0</v>
      </c>
    </row>
    <row r="3">
      <c r="A3" s="2" t="s">
        <v>8</v>
      </c>
      <c r="B3" s="2">
        <v>0.636</v>
      </c>
      <c r="C3" s="2">
        <v>0.642</v>
      </c>
      <c r="D3" s="2">
        <v>0.642</v>
      </c>
      <c r="E3" s="2">
        <v>0.615</v>
      </c>
      <c r="F3" s="3"/>
      <c r="G3" s="2">
        <v>0.679</v>
      </c>
    </row>
    <row r="4">
      <c r="A4" s="2" t="s">
        <v>9</v>
      </c>
      <c r="B4" s="2">
        <v>0.936</v>
      </c>
      <c r="C4" s="2">
        <v>0.816</v>
      </c>
      <c r="D4" s="2">
        <v>0.94</v>
      </c>
      <c r="E4" s="2">
        <v>0.9</v>
      </c>
      <c r="F4" s="3"/>
      <c r="G4" s="2">
        <v>0.94</v>
      </c>
    </row>
    <row r="5">
      <c r="A5" s="2" t="s">
        <v>10</v>
      </c>
      <c r="B5" s="2">
        <v>0.732</v>
      </c>
      <c r="C5" s="2">
        <v>0.376</v>
      </c>
      <c r="D5" s="2">
        <v>0.752</v>
      </c>
      <c r="E5" s="2">
        <v>0.416</v>
      </c>
      <c r="F5" s="3"/>
      <c r="G5" s="2">
        <v>0.836</v>
      </c>
    </row>
    <row r="6">
      <c r="A6" s="2" t="s">
        <v>11</v>
      </c>
      <c r="B6" s="2">
        <v>0.988</v>
      </c>
      <c r="C6" s="2">
        <v>0.816</v>
      </c>
      <c r="D6" s="2">
        <v>0.996</v>
      </c>
      <c r="E6" s="2">
        <v>0.952</v>
      </c>
      <c r="F6" s="3"/>
      <c r="G6" s="2">
        <v>1.0</v>
      </c>
    </row>
    <row r="7">
      <c r="A7" s="2" t="s">
        <v>12</v>
      </c>
      <c r="B7" s="2">
        <v>0.824</v>
      </c>
      <c r="C7" s="2">
        <v>0.56</v>
      </c>
      <c r="D7" s="2">
        <v>0.768</v>
      </c>
      <c r="E7" s="2">
        <v>0.8</v>
      </c>
      <c r="F7" s="3"/>
      <c r="G7" s="2">
        <v>0.8</v>
      </c>
    </row>
    <row r="8">
      <c r="A8" s="2" t="s">
        <v>13</v>
      </c>
      <c r="B8" s="2">
        <v>0.972</v>
      </c>
      <c r="C8" s="2">
        <v>0.876</v>
      </c>
      <c r="D8" s="2">
        <v>1.0</v>
      </c>
      <c r="E8" s="2">
        <v>1.0</v>
      </c>
      <c r="F8" s="3"/>
      <c r="G8" s="2">
        <v>0.984</v>
      </c>
    </row>
    <row r="9">
      <c r="A9" s="2" t="s">
        <v>14</v>
      </c>
      <c r="B9" s="2">
        <v>0.98</v>
      </c>
      <c r="C9" s="2">
        <v>0.816</v>
      </c>
      <c r="D9" s="2">
        <v>1.0</v>
      </c>
      <c r="E9" s="2">
        <v>0.992</v>
      </c>
      <c r="F9" s="3"/>
      <c r="G9" s="2">
        <v>0.992</v>
      </c>
    </row>
    <row r="10">
      <c r="A10" s="2" t="s">
        <v>15</v>
      </c>
      <c r="B10" s="2">
        <v>1.0</v>
      </c>
      <c r="C10" s="2">
        <v>0.996</v>
      </c>
      <c r="D10" s="2">
        <v>1.0</v>
      </c>
      <c r="E10" s="2">
        <v>0.996</v>
      </c>
      <c r="F10" s="3"/>
      <c r="G10" s="2">
        <v>0.992</v>
      </c>
    </row>
    <row r="11">
      <c r="A11" s="2" t="s">
        <v>16</v>
      </c>
      <c r="B11" s="2">
        <v>0.584</v>
      </c>
      <c r="C11" s="2">
        <v>0.98</v>
      </c>
      <c r="D11" s="2">
        <v>0.996</v>
      </c>
      <c r="E11" s="2">
        <v>1.0</v>
      </c>
      <c r="F11" s="3"/>
      <c r="G11" s="2">
        <v>0.996</v>
      </c>
    </row>
    <row r="12">
      <c r="A12" s="2" t="s">
        <v>17</v>
      </c>
      <c r="B12" s="2">
        <v>0.984</v>
      </c>
      <c r="C12" s="2">
        <v>0.952</v>
      </c>
      <c r="D12" s="2">
        <v>1.0</v>
      </c>
      <c r="E12" s="2">
        <v>1.0</v>
      </c>
      <c r="F12" s="3"/>
      <c r="G12" s="2">
        <v>1.0</v>
      </c>
    </row>
    <row r="13">
      <c r="A13" s="2" t="s">
        <v>18</v>
      </c>
      <c r="B13" s="2">
        <v>0.92</v>
      </c>
      <c r="C13" s="2">
        <v>0.924</v>
      </c>
      <c r="D13" s="2">
        <v>0.88</v>
      </c>
      <c r="E13" s="2">
        <v>0.992</v>
      </c>
      <c r="F13" s="3"/>
      <c r="G13" s="2">
        <v>0.996</v>
      </c>
    </row>
    <row r="14">
      <c r="A14" s="2" t="s">
        <v>19</v>
      </c>
      <c r="B14" s="2">
        <v>1.0</v>
      </c>
      <c r="C14" s="2">
        <v>0.993</v>
      </c>
      <c r="D14" s="2">
        <v>1.0</v>
      </c>
      <c r="E14" s="2">
        <v>0.932</v>
      </c>
      <c r="F14" s="3"/>
      <c r="G14" s="2">
        <v>1.0</v>
      </c>
    </row>
    <row r="15">
      <c r="A15" s="2" t="s">
        <v>20</v>
      </c>
      <c r="B15" s="2">
        <v>0.988</v>
      </c>
      <c r="C15" s="2">
        <v>0.92</v>
      </c>
      <c r="D15" s="2">
        <v>0.988</v>
      </c>
      <c r="E15" s="2">
        <v>0.952</v>
      </c>
      <c r="F15" s="3"/>
      <c r="G15" s="2">
        <v>1.0</v>
      </c>
    </row>
    <row r="16">
      <c r="A16" s="2" t="s">
        <v>21</v>
      </c>
      <c r="B16" s="2">
        <v>0.988</v>
      </c>
      <c r="C16" s="2">
        <v>0.956</v>
      </c>
      <c r="D16" s="2">
        <v>0.992</v>
      </c>
      <c r="E16" s="2">
        <v>0.936</v>
      </c>
      <c r="F16" s="3"/>
      <c r="G16" s="2">
        <v>0.996</v>
      </c>
    </row>
    <row r="17">
      <c r="A17" s="2" t="s">
        <v>22</v>
      </c>
      <c r="B17" s="2">
        <v>1.0</v>
      </c>
      <c r="C17" s="2">
        <v>0.952</v>
      </c>
      <c r="D17" s="2">
        <v>1.0</v>
      </c>
      <c r="E17" s="2">
        <v>0.988</v>
      </c>
      <c r="F17" s="3"/>
      <c r="G17" s="2">
        <v>1.0</v>
      </c>
    </row>
    <row r="18">
      <c r="A18" s="2" t="s">
        <v>23</v>
      </c>
      <c r="B18" s="2">
        <v>1.0</v>
      </c>
      <c r="C18" s="2">
        <v>0.932</v>
      </c>
      <c r="D18" s="2">
        <v>1.0</v>
      </c>
      <c r="E18" s="2">
        <v>0.868</v>
      </c>
      <c r="F18" s="3"/>
      <c r="G18" s="2">
        <v>1.0</v>
      </c>
    </row>
    <row r="19">
      <c r="A19" s="2" t="s">
        <v>24</v>
      </c>
      <c r="B19" s="2">
        <v>1.0</v>
      </c>
      <c r="C19" s="2">
        <v>0.984</v>
      </c>
      <c r="D19" s="2">
        <v>1.0</v>
      </c>
      <c r="E19" s="2">
        <v>0.908</v>
      </c>
      <c r="F19" s="3"/>
      <c r="G19" s="2">
        <v>1.0</v>
      </c>
    </row>
    <row r="20">
      <c r="A20" s="2" t="s">
        <v>25</v>
      </c>
      <c r="B20" s="2">
        <v>0.86</v>
      </c>
      <c r="C20" s="2">
        <v>0.716</v>
      </c>
      <c r="D20" s="2">
        <v>0.944</v>
      </c>
      <c r="E20" s="2">
        <v>0.916</v>
      </c>
      <c r="F20" s="3"/>
      <c r="G20" s="2">
        <v>1.0</v>
      </c>
    </row>
    <row r="21">
      <c r="A21" s="2" t="s">
        <v>26</v>
      </c>
      <c r="B21" s="2">
        <v>0.868</v>
      </c>
      <c r="C21" s="2">
        <v>0.492</v>
      </c>
      <c r="D21" s="2">
        <v>0.908</v>
      </c>
      <c r="E21" s="2">
        <v>0.86</v>
      </c>
      <c r="F21" s="3"/>
      <c r="G21" s="2">
        <v>1.0</v>
      </c>
    </row>
    <row r="22">
      <c r="A22" s="1" t="s">
        <v>27</v>
      </c>
      <c r="B22" s="3">
        <f t="shared" ref="B22:E22" si="1">AVERAGE(B2:B21)</f>
        <v>0.9122</v>
      </c>
      <c r="C22" s="3">
        <f t="shared" si="1"/>
        <v>0.83375</v>
      </c>
      <c r="D22" s="3">
        <f t="shared" si="1"/>
        <v>0.9401</v>
      </c>
      <c r="E22" s="3">
        <f t="shared" si="1"/>
        <v>0.90075</v>
      </c>
      <c r="F22" s="3"/>
      <c r="G22" s="3">
        <f>AVERAGE(G2:G21)</f>
        <v>0.96055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G1" s="4" t="s">
        <v>6</v>
      </c>
    </row>
    <row r="2">
      <c r="A2" s="2" t="s">
        <v>28</v>
      </c>
      <c r="B2" s="2">
        <v>0.78</v>
      </c>
      <c r="C2" s="2">
        <v>0.78</v>
      </c>
      <c r="D2" s="2">
        <v>0.82</v>
      </c>
      <c r="G2" s="2">
        <v>0.83</v>
      </c>
    </row>
    <row r="3">
      <c r="A3" s="2" t="s">
        <v>29</v>
      </c>
      <c r="B3" s="2">
        <v>0.86</v>
      </c>
      <c r="C3" s="2">
        <v>0.588</v>
      </c>
      <c r="D3" s="2">
        <v>0.816</v>
      </c>
      <c r="G3" s="2">
        <v>0.904</v>
      </c>
    </row>
    <row r="4">
      <c r="A4" s="2" t="s">
        <v>30</v>
      </c>
      <c r="B4" s="2">
        <v>0.929</v>
      </c>
      <c r="C4" s="2">
        <v>0.958</v>
      </c>
      <c r="D4" s="2">
        <v>0.979</v>
      </c>
      <c r="G4" s="2">
        <v>0.981</v>
      </c>
    </row>
    <row r="5">
      <c r="A5" s="2" t="s">
        <v>31</v>
      </c>
      <c r="B5" s="2">
        <v>0.96</v>
      </c>
      <c r="C5" s="2">
        <v>0.643</v>
      </c>
      <c r="D5" s="2">
        <v>0.976</v>
      </c>
      <c r="G5" s="2">
        <v>0.976</v>
      </c>
    </row>
    <row r="6">
      <c r="A6" s="2" t="s">
        <v>32</v>
      </c>
      <c r="B6" s="2">
        <v>0.907</v>
      </c>
      <c r="C6" s="2">
        <v>0.843</v>
      </c>
      <c r="D6" s="2">
        <v>0.898</v>
      </c>
      <c r="G6" s="2">
        <v>0.889</v>
      </c>
    </row>
    <row r="7">
      <c r="A7" s="2" t="s">
        <v>33</v>
      </c>
      <c r="B7" s="2">
        <v>0.877</v>
      </c>
      <c r="C7" s="2">
        <v>0.828</v>
      </c>
      <c r="D7" s="2">
        <v>0.902</v>
      </c>
      <c r="G7" s="2">
        <v>0.902</v>
      </c>
    </row>
    <row r="8">
      <c r="A8" s="2" t="s">
        <v>34</v>
      </c>
      <c r="B8" s="2">
        <v>0.932</v>
      </c>
      <c r="C8" s="2">
        <v>0.835</v>
      </c>
      <c r="D8" s="2">
        <v>0.903</v>
      </c>
      <c r="G8" s="2">
        <v>0.903</v>
      </c>
    </row>
    <row r="9">
      <c r="A9" s="2" t="s">
        <v>35</v>
      </c>
      <c r="B9" s="2">
        <v>0.949</v>
      </c>
      <c r="C9" s="2">
        <v>0.94</v>
      </c>
      <c r="D9" s="2">
        <v>0.94</v>
      </c>
      <c r="G9" s="2">
        <v>0.97</v>
      </c>
    </row>
    <row r="10">
      <c r="A10" s="2" t="s">
        <v>36</v>
      </c>
      <c r="B10" s="2">
        <v>0.949</v>
      </c>
      <c r="C10" s="2">
        <v>0.911</v>
      </c>
      <c r="D10" s="2">
        <v>0.968</v>
      </c>
      <c r="G10" s="2">
        <v>0.958</v>
      </c>
    </row>
    <row r="11">
      <c r="A11" s="2" t="s">
        <v>37</v>
      </c>
      <c r="B11" s="2">
        <v>0.844</v>
      </c>
      <c r="C11" s="2">
        <v>0.806</v>
      </c>
      <c r="D11" s="2">
        <v>0.855</v>
      </c>
      <c r="G11" s="2">
        <v>0.855</v>
      </c>
    </row>
    <row r="12">
      <c r="A12" s="2" t="s">
        <v>38</v>
      </c>
      <c r="B12" s="2">
        <v>0.842</v>
      </c>
      <c r="C12" s="2">
        <v>0.708</v>
      </c>
      <c r="D12" s="2">
        <v>0.849</v>
      </c>
      <c r="G12" s="2">
        <v>0.869</v>
      </c>
    </row>
    <row r="13">
      <c r="A13" s="2" t="s">
        <v>39</v>
      </c>
      <c r="B13" s="2">
        <v>0.881</v>
      </c>
      <c r="C13" s="2">
        <v>0.797</v>
      </c>
      <c r="D13" s="2">
        <v>0.881</v>
      </c>
      <c r="G13" s="2">
        <v>0.91</v>
      </c>
    </row>
    <row r="14">
      <c r="A14" s="2" t="s">
        <v>40</v>
      </c>
      <c r="B14" s="2">
        <v>0.745</v>
      </c>
      <c r="C14" s="2">
        <v>0.777</v>
      </c>
      <c r="D14" s="2">
        <v>0.936</v>
      </c>
      <c r="G14" s="2">
        <v>0.979</v>
      </c>
    </row>
    <row r="15">
      <c r="A15" s="4" t="s">
        <v>27</v>
      </c>
      <c r="B15" s="5">
        <f t="shared" ref="B15:D15" si="1">AVERAGE(B2:B14)</f>
        <v>0.8811538462</v>
      </c>
      <c r="C15" s="5">
        <f t="shared" si="1"/>
        <v>0.8010769231</v>
      </c>
      <c r="D15" s="5">
        <f t="shared" si="1"/>
        <v>0.9017692308</v>
      </c>
      <c r="G15" s="5">
        <f>AVERAGE(G1:G14)</f>
        <v>0.9173846154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41</v>
      </c>
      <c r="B2" s="2">
        <v>0.949</v>
      </c>
      <c r="C2" s="2">
        <v>0.874</v>
      </c>
      <c r="D2" s="2"/>
      <c r="E2" s="2"/>
      <c r="F2" s="3"/>
      <c r="G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42</v>
      </c>
      <c r="B2" s="2"/>
      <c r="C2" s="2"/>
      <c r="D2" s="2"/>
      <c r="E2" s="2"/>
      <c r="F2" s="3"/>
      <c r="G2" s="2"/>
    </row>
    <row r="3">
      <c r="A3" s="2" t="s">
        <v>43</v>
      </c>
      <c r="B3" s="2" t="s">
        <v>44</v>
      </c>
      <c r="C3" s="2">
        <v>0.464</v>
      </c>
      <c r="D3" s="2"/>
      <c r="E3" s="2"/>
      <c r="F3" s="3"/>
      <c r="G3" s="2"/>
    </row>
    <row r="4">
      <c r="A4" s="2" t="s">
        <v>45</v>
      </c>
      <c r="B4" s="2" t="s">
        <v>44</v>
      </c>
      <c r="C4" s="2">
        <v>0.2</v>
      </c>
      <c r="D4" s="2"/>
      <c r="E4" s="2"/>
      <c r="F4" s="3"/>
      <c r="G4" s="2"/>
    </row>
    <row r="5">
      <c r="A5" s="2" t="s">
        <v>46</v>
      </c>
      <c r="B5" s="2" t="s">
        <v>44</v>
      </c>
      <c r="C5" s="2">
        <v>0.647</v>
      </c>
      <c r="D5" s="2"/>
      <c r="E5" s="2"/>
      <c r="F5" s="3"/>
      <c r="G5" s="2"/>
    </row>
    <row r="6">
      <c r="A6" s="4" t="s">
        <v>47</v>
      </c>
      <c r="B6" s="2" t="s">
        <v>44</v>
      </c>
      <c r="C6" s="2">
        <v>0.5</v>
      </c>
      <c r="D6" s="2"/>
      <c r="E6" s="2"/>
      <c r="F6" s="3"/>
      <c r="G6" s="2"/>
    </row>
    <row r="7">
      <c r="A7" s="2" t="s">
        <v>48</v>
      </c>
      <c r="B7" s="2"/>
      <c r="C7" s="2"/>
      <c r="D7" s="2"/>
      <c r="E7" s="2"/>
      <c r="F7" s="3"/>
      <c r="G7" s="2"/>
    </row>
    <row r="8">
      <c r="A8" s="2" t="s">
        <v>49</v>
      </c>
      <c r="B8" s="2" t="s">
        <v>44</v>
      </c>
      <c r="C8" s="2">
        <v>0.74</v>
      </c>
      <c r="D8" s="2"/>
      <c r="E8" s="2"/>
      <c r="F8" s="3"/>
      <c r="G8" s="2"/>
    </row>
    <row r="9">
      <c r="A9" s="2" t="s">
        <v>50</v>
      </c>
      <c r="B9" s="2" t="s">
        <v>44</v>
      </c>
      <c r="C9" s="2">
        <v>0.74</v>
      </c>
      <c r="D9" s="2"/>
      <c r="E9" s="2"/>
      <c r="F9" s="3"/>
      <c r="G9" s="2"/>
    </row>
    <row r="10">
      <c r="A10" s="2" t="s">
        <v>41</v>
      </c>
      <c r="B10" s="2" t="s">
        <v>44</v>
      </c>
      <c r="C10" s="2">
        <f>AVERAGE(C6,C9)</f>
        <v>0.62</v>
      </c>
      <c r="D10" s="2"/>
      <c r="E10" s="2"/>
      <c r="F10" s="3"/>
      <c r="G10" s="2"/>
    </row>
    <row r="11">
      <c r="A11" s="2"/>
      <c r="B11" s="2"/>
      <c r="C11" s="2"/>
      <c r="D11" s="2"/>
      <c r="E11" s="2"/>
      <c r="F11" s="3"/>
      <c r="G11" s="2"/>
    </row>
    <row r="12">
      <c r="B12" s="2"/>
      <c r="C12" s="2"/>
      <c r="D12" s="2"/>
      <c r="E12" s="2"/>
      <c r="F12" s="3"/>
      <c r="G12" s="2"/>
    </row>
    <row r="13">
      <c r="A13" s="2"/>
      <c r="B13" s="2"/>
      <c r="C13" s="2"/>
      <c r="D13" s="2"/>
      <c r="E13" s="2"/>
      <c r="F13" s="3"/>
      <c r="G13" s="2"/>
    </row>
  </sheetData>
  <drawing r:id="rId1"/>
</worksheet>
</file>